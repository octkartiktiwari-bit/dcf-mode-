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ik\OneDrive\Documents\"/>
    </mc:Choice>
  </mc:AlternateContent>
  <xr:revisionPtr revIDLastSave="0" documentId="13_ncr:1_{7CD28CF8-FE32-41E2-A164-9C1FF9C07CB1}" xr6:coauthVersionLast="47" xr6:coauthVersionMax="47" xr10:uidLastSave="{00000000-0000-0000-0000-000000000000}"/>
  <bookViews>
    <workbookView xWindow="-120" yWindow="-120" windowWidth="29040" windowHeight="15720" xr2:uid="{D435D087-B8B6-4C77-9A95-E4881B21A3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9" i="1"/>
  <c r="J5" i="1"/>
  <c r="B11" i="1"/>
  <c r="M5" i="1"/>
  <c r="J7" i="1" s="1"/>
  <c r="B14" i="1"/>
  <c r="B4" i="1" s="1"/>
  <c r="B5" i="1" s="1"/>
  <c r="B6" i="1" s="1"/>
  <c r="J11" i="1" l="1"/>
  <c r="B15" i="1"/>
  <c r="D15" i="1" l="1"/>
  <c r="E15" i="1"/>
  <c r="F15" i="1"/>
  <c r="C15" i="1"/>
  <c r="C24" i="1" s="1"/>
  <c r="B28" i="1"/>
  <c r="B29" i="1" s="1"/>
  <c r="F24" i="1"/>
  <c r="E24" i="1"/>
  <c r="B24" i="1"/>
  <c r="D24" i="1"/>
  <c r="B31" i="1" l="1" a="1"/>
  <c r="B31" i="1" s="1"/>
  <c r="B32" i="1" l="1"/>
  <c r="B3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<sst xmlns="http://schemas.openxmlformats.org/spreadsheetml/2006/main" count="70" uniqueCount="69">
  <si>
    <t>Calculate free cash flow</t>
  </si>
  <si>
    <t>D&amp;A</t>
  </si>
  <si>
    <t xml:space="preserve">Free Cash Flow </t>
  </si>
  <si>
    <t>WACC</t>
  </si>
  <si>
    <t>cost of debt</t>
  </si>
  <si>
    <t>tax</t>
  </si>
  <si>
    <t>market return</t>
  </si>
  <si>
    <t xml:space="preserve">Cost of equity </t>
  </si>
  <si>
    <t xml:space="preserve">WACC Calculations </t>
  </si>
  <si>
    <t>E/E+D</t>
  </si>
  <si>
    <t>D/E+D</t>
  </si>
  <si>
    <t>CapEx -</t>
  </si>
  <si>
    <t xml:space="preserve"> change in wc -</t>
  </si>
  <si>
    <t>Tax</t>
  </si>
  <si>
    <t>fcf for five year --</t>
  </si>
  <si>
    <t xml:space="preserve">Years </t>
  </si>
  <si>
    <t xml:space="preserve">Current asset </t>
  </si>
  <si>
    <t xml:space="preserve">Current liability </t>
  </si>
  <si>
    <t>0</t>
  </si>
  <si>
    <t>1</t>
  </si>
  <si>
    <t>2</t>
  </si>
  <si>
    <t>3</t>
  </si>
  <si>
    <t>4</t>
  </si>
  <si>
    <t>5</t>
  </si>
  <si>
    <t>Re=Rf+B*(Rm-Rf)</t>
  </si>
  <si>
    <t xml:space="preserve">Re=cost of equity </t>
  </si>
  <si>
    <t xml:space="preserve">Rm-Rf = market risk premium </t>
  </si>
  <si>
    <t xml:space="preserve">Places to get these merits </t>
  </si>
  <si>
    <t>Re(cost of equity)</t>
  </si>
  <si>
    <t xml:space="preserve">Rf - 10 year gov bond yield </t>
  </si>
  <si>
    <t>β</t>
  </si>
  <si>
    <t>β - any screener</t>
  </si>
  <si>
    <t>β=equity beta (5 years )</t>
  </si>
  <si>
    <t>Rm - market risk premium ( same all)</t>
  </si>
  <si>
    <t>for change in wc</t>
  </si>
  <si>
    <t xml:space="preserve">Present value of future cash flow </t>
  </si>
  <si>
    <t>PV1</t>
  </si>
  <si>
    <t>PV2</t>
  </si>
  <si>
    <t>PV3</t>
  </si>
  <si>
    <t>PV4</t>
  </si>
  <si>
    <t>PV5</t>
  </si>
  <si>
    <t xml:space="preserve">TERMINAL VALUE </t>
  </si>
  <si>
    <t>g</t>
  </si>
  <si>
    <t>g-one constant long-term growth rate applied after the forecasted year(GDP gr)</t>
  </si>
  <si>
    <t>PV of TV</t>
  </si>
  <si>
    <t>Enterprise value (EV)</t>
  </si>
  <si>
    <t xml:space="preserve">EV - value today of the company entire op business </t>
  </si>
  <si>
    <t xml:space="preserve">Equity Value </t>
  </si>
  <si>
    <t xml:space="preserve">For equity value </t>
  </si>
  <si>
    <t>Cash(c&amp;Ce)</t>
  </si>
  <si>
    <t xml:space="preserve">Intrinsic  value </t>
  </si>
  <si>
    <t xml:space="preserve">share outstanding </t>
  </si>
  <si>
    <t>EBIT(OP)</t>
  </si>
  <si>
    <t>BEL</t>
  </si>
  <si>
    <t>equity (MC)</t>
  </si>
  <si>
    <t xml:space="preserve">equity - market capitalization </t>
  </si>
  <si>
    <t>debt(borrowings)</t>
  </si>
  <si>
    <t xml:space="preserve">borrowing </t>
  </si>
  <si>
    <t xml:space="preserve">Interest </t>
  </si>
  <si>
    <t>Rf=risk free rate (10 years)(gov bond)</t>
  </si>
  <si>
    <t>Rm(same)</t>
  </si>
  <si>
    <t>Rf(same)</t>
  </si>
  <si>
    <t xml:space="preserve">reinvestment rate </t>
  </si>
  <si>
    <t xml:space="preserve">reinvestment </t>
  </si>
  <si>
    <t>EBIT(1-tax)[NOPAT]</t>
  </si>
  <si>
    <t xml:space="preserve">Sustainable growth rate </t>
  </si>
  <si>
    <t>ROCE(normalised roce)</t>
  </si>
  <si>
    <t>fcf growth rate (scf and cagr)</t>
  </si>
  <si>
    <t>sector Cagr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</si>
</sst>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22222F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8FC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1" fillId="0" borderId="16" xfId="0" applyFont="1" applyBorder="1"/>
    <xf numFmtId="0" fontId="0" fillId="0" borderId="17" xfId="0" applyBorder="1"/>
    <xf numFmtId="0" fontId="0" fillId="0" borderId="18" xfId="0" applyBorder="1"/>
    <xf numFmtId="0" fontId="1" fillId="0" borderId="19" xfId="0" applyFont="1" applyBorder="1"/>
    <xf numFmtId="0" fontId="0" fillId="0" borderId="19" xfId="0" applyBorder="1"/>
    <xf numFmtId="0" fontId="1" fillId="0" borderId="21" xfId="0" applyFont="1" applyBorder="1"/>
    <xf numFmtId="0" fontId="0" fillId="0" borderId="20" xfId="0" applyBorder="1"/>
    <xf numFmtId="0" fontId="1" fillId="0" borderId="23" xfId="0" applyFont="1" applyBorder="1"/>
    <xf numFmtId="0" fontId="0" fillId="0" borderId="24" xfId="0" applyBorder="1"/>
    <xf numFmtId="0" fontId="1" fillId="0" borderId="1" xfId="0" applyFon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1" fillId="0" borderId="25" xfId="0" applyFont="1" applyBorder="1"/>
    <xf numFmtId="0" fontId="1" fillId="0" borderId="22" xfId="0" applyFont="1" applyBorder="1"/>
    <xf numFmtId="0" fontId="0" fillId="0" borderId="28" xfId="0" applyBorder="1"/>
    <xf numFmtId="0" fontId="1" fillId="0" borderId="14" xfId="0" applyFont="1" applyBorder="1"/>
    <xf numFmtId="0" fontId="0" fillId="0" borderId="29" xfId="0" applyBorder="1"/>
    <xf numFmtId="0" fontId="0" fillId="0" borderId="30" xfId="0" applyBorder="1"/>
    <xf numFmtId="3" fontId="0" fillId="0" borderId="0" xfId="0" applyNumberFormat="1"/>
    <xf numFmtId="0" fontId="3" fillId="2" borderId="1" xfId="0" applyFont="1" applyFill="1" applyBorder="1" applyAlignment="1">
      <alignment horizontal="right" vertical="center" wrapText="1" inden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31" xfId="0" applyFont="1" applyBorder="1"/>
    <xf numFmtId="0" fontId="4" fillId="0" borderId="1" xfId="0" applyFont="1" applyBorder="1"/>
    <xf numFmtId="0" fontId="3" fillId="0" borderId="1" xfId="0" applyFont="1" applyBorder="1"/>
    <xf numFmtId="0" fontId="0" fillId="0" borderId="0" xfId="0" applyBorder="1"/>
    <xf numFmtId="2" fontId="0" fillId="0" borderId="9" xfId="0" applyNumberFormat="1" applyBorder="1"/>
    <xf numFmtId="0" fontId="0" fillId="0" borderId="32" xfId="0" applyBorder="1"/>
    <xf numFmtId="0" fontId="0" fillId="0" borderId="9" xfId="0" applyNumberFormat="1" applyBorder="1"/>
    <xf numFmtId="2" fontId="0" fillId="0" borderId="9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5D2C6B-7336-4698-89F5-42A37AC6E705}" name="Table3" displayName="Table3" ref="A18:G20" totalsRowShown="0">
  <autoFilter ref="A18:G20" xr:uid="{0C5D2C6B-7336-4698-89F5-42A37AC6E705}"/>
  <tableColumns count="7">
    <tableColumn id="1" xr3:uid="{3EBD0D44-F7E8-4364-97B9-91AEEF00CBCE}" name="for change in wc"/>
    <tableColumn id="2" xr3:uid="{42DE9E04-AF45-4771-9305-0A9F0F1590D1}" name="0"/>
    <tableColumn id="3" xr3:uid="{C64B12E1-326B-41A3-963C-74463AB05419}" name="1"/>
    <tableColumn id="4" xr3:uid="{63868817-B711-4A66-BFD3-95DC8DAD820F}" name="2"/>
    <tableColumn id="5" xr3:uid="{5A7664DD-E1DC-4DB4-9BA5-0A1FFD8E7841}" name="3"/>
    <tableColumn id="6" xr3:uid="{CBA33994-6FE7-4E40-B865-7EBE369E45A3}" name="4"/>
    <tableColumn id="7" xr3:uid="{2AEDDE9D-9065-4869-B3A6-BE491A76B552}" name="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D6F7B-AFAE-4684-8F3B-FCB81D1D1960}">
  <dimension ref="A1:T35"/>
  <sheetViews>
    <sheetView tabSelected="1" zoomScale="103" workbookViewId="0">
      <selection activeCell="R13" sqref="R13"/>
    </sheetView>
  </sheetViews>
  <sheetFormatPr defaultRowHeight="15" x14ac:dyDescent="0.25"/>
  <cols>
    <col min="1" max="1" width="31.28515625" bestFit="1" customWidth="1"/>
    <col min="2" max="3" width="9.140625" customWidth="1"/>
    <col min="4" max="4" width="10.85546875" customWidth="1"/>
    <col min="8" max="8" width="14.42578125" bestFit="1" customWidth="1"/>
    <col min="9" max="9" width="19.28515625" bestFit="1" customWidth="1"/>
    <col min="12" max="12" width="17.42578125" bestFit="1" customWidth="1"/>
    <col min="14" max="14" width="13.140625" bestFit="1" customWidth="1"/>
    <col min="15" max="15" width="14.5703125" bestFit="1" customWidth="1"/>
    <col min="17" max="17" width="10.7109375" customWidth="1"/>
  </cols>
  <sheetData>
    <row r="1" spans="1:20" ht="15.75" thickBot="1" x14ac:dyDescent="0.3">
      <c r="A1" t="s">
        <v>14</v>
      </c>
      <c r="H1" s="19"/>
      <c r="I1" s="3" t="s">
        <v>8</v>
      </c>
      <c r="J1" s="4"/>
      <c r="L1" s="17" t="s">
        <v>7</v>
      </c>
      <c r="M1" s="18"/>
      <c r="O1" s="1" t="s">
        <v>24</v>
      </c>
      <c r="P1" s="1"/>
      <c r="R1" s="21"/>
    </row>
    <row r="2" spans="1:20" x14ac:dyDescent="0.25">
      <c r="A2" s="2"/>
      <c r="B2" s="26" t="s">
        <v>0</v>
      </c>
      <c r="C2" s="26"/>
      <c r="D2" s="26"/>
      <c r="E2" s="2"/>
      <c r="F2" s="2"/>
      <c r="H2" s="19"/>
      <c r="I2" s="5" t="s">
        <v>54</v>
      </c>
      <c r="J2" s="41">
        <v>306499</v>
      </c>
      <c r="L2" s="12" t="s">
        <v>61</v>
      </c>
      <c r="M2" s="13">
        <v>6.6</v>
      </c>
      <c r="O2" t="s">
        <v>25</v>
      </c>
      <c r="R2" s="21"/>
    </row>
    <row r="3" spans="1:20" x14ac:dyDescent="0.25">
      <c r="A3" s="2" t="s">
        <v>15</v>
      </c>
      <c r="B3" s="11">
        <v>2025</v>
      </c>
      <c r="C3" s="11">
        <v>2026</v>
      </c>
      <c r="D3" s="11">
        <v>2027</v>
      </c>
      <c r="E3" s="11">
        <v>2028</v>
      </c>
      <c r="F3" s="11">
        <v>2029</v>
      </c>
      <c r="H3" s="19"/>
      <c r="I3" s="5" t="s">
        <v>56</v>
      </c>
      <c r="J3" s="42">
        <v>61</v>
      </c>
      <c r="L3" s="12" t="s">
        <v>30</v>
      </c>
      <c r="M3" s="13">
        <v>0.7</v>
      </c>
      <c r="O3" t="s">
        <v>59</v>
      </c>
      <c r="R3" s="21"/>
    </row>
    <row r="4" spans="1:20" x14ac:dyDescent="0.25">
      <c r="A4" s="2" t="s">
        <v>63</v>
      </c>
      <c r="B4" s="11">
        <f>B13-B12+B14</f>
        <v>3637.2799999999997</v>
      </c>
      <c r="C4" s="11"/>
      <c r="D4" s="11"/>
      <c r="E4" s="11"/>
      <c r="F4" s="43"/>
      <c r="H4" s="19"/>
      <c r="I4" s="5" t="s">
        <v>58</v>
      </c>
      <c r="J4" s="42">
        <v>12</v>
      </c>
      <c r="L4" s="14" t="s">
        <v>60</v>
      </c>
      <c r="M4" s="15">
        <v>12.6</v>
      </c>
      <c r="O4" t="s">
        <v>32</v>
      </c>
      <c r="R4" s="21"/>
    </row>
    <row r="5" spans="1:20" ht="15.75" thickBot="1" x14ac:dyDescent="0.3">
      <c r="A5" s="2" t="s">
        <v>62</v>
      </c>
      <c r="B5" s="44">
        <f>B4/B11*100</f>
        <v>71.891812830821152</v>
      </c>
      <c r="C5" s="11"/>
      <c r="D5" s="11"/>
      <c r="E5" s="11"/>
      <c r="F5" s="43"/>
      <c r="H5" s="19"/>
      <c r="I5" s="5" t="s">
        <v>4</v>
      </c>
      <c r="J5" s="6">
        <f>(J4/J3)*100</f>
        <v>19.672131147540984</v>
      </c>
      <c r="L5" s="40" t="s">
        <v>28</v>
      </c>
      <c r="M5" s="16">
        <f>M2+M3*(M4-M2)</f>
        <v>10.799999999999999</v>
      </c>
      <c r="O5" t="s">
        <v>26</v>
      </c>
      <c r="R5" s="21"/>
    </row>
    <row r="6" spans="1:20" x14ac:dyDescent="0.25">
      <c r="A6" s="2" t="s">
        <v>65</v>
      </c>
      <c r="B6" s="47">
        <f>B5*B7/100</f>
        <v>12.940526309547808</v>
      </c>
      <c r="C6" s="11"/>
      <c r="D6" s="11"/>
      <c r="E6" s="11"/>
      <c r="F6" s="43"/>
      <c r="H6" s="19"/>
      <c r="I6" s="5" t="s">
        <v>5</v>
      </c>
      <c r="J6" s="6">
        <v>25</v>
      </c>
      <c r="O6" t="s">
        <v>55</v>
      </c>
      <c r="R6" s="21"/>
    </row>
    <row r="7" spans="1:20" x14ac:dyDescent="0.25">
      <c r="A7" s="2" t="s">
        <v>66</v>
      </c>
      <c r="B7" s="46">
        <v>18</v>
      </c>
      <c r="C7" s="11"/>
      <c r="D7" s="11"/>
      <c r="E7" s="11"/>
      <c r="F7" s="43"/>
      <c r="H7" s="19"/>
      <c r="I7" s="5" t="s">
        <v>7</v>
      </c>
      <c r="J7" s="6">
        <f>M5</f>
        <v>10.799999999999999</v>
      </c>
      <c r="O7" s="1" t="s">
        <v>27</v>
      </c>
      <c r="R7" s="21"/>
    </row>
    <row r="8" spans="1:20" x14ac:dyDescent="0.25">
      <c r="A8" s="2" t="s">
        <v>67</v>
      </c>
      <c r="B8" s="46">
        <v>11</v>
      </c>
      <c r="C8" s="11"/>
      <c r="D8" s="11"/>
      <c r="E8" s="11"/>
      <c r="F8" s="43"/>
      <c r="H8" s="19"/>
      <c r="I8" s="5" t="s">
        <v>6</v>
      </c>
      <c r="J8" s="6"/>
      <c r="O8" t="s">
        <v>29</v>
      </c>
      <c r="R8" s="21"/>
    </row>
    <row r="9" spans="1:20" x14ac:dyDescent="0.25">
      <c r="A9" s="2" t="s">
        <v>52</v>
      </c>
      <c r="B9" s="37">
        <v>6837</v>
      </c>
      <c r="C9" s="2"/>
      <c r="D9" s="2"/>
      <c r="E9" s="2"/>
      <c r="H9" s="19"/>
      <c r="I9" s="5" t="s">
        <v>9</v>
      </c>
      <c r="J9" s="6">
        <f>J2/(J2+J3)</f>
        <v>0.99980101774530272</v>
      </c>
      <c r="O9" t="s">
        <v>31</v>
      </c>
      <c r="P9" s="1"/>
      <c r="Q9" s="1"/>
      <c r="R9" s="21"/>
      <c r="T9" t="s">
        <v>53</v>
      </c>
    </row>
    <row r="10" spans="1:20" ht="15.75" thickBot="1" x14ac:dyDescent="0.3">
      <c r="A10" s="2" t="s">
        <v>13</v>
      </c>
      <c r="B10" s="35">
        <v>26</v>
      </c>
      <c r="C10" s="2"/>
      <c r="D10" s="2"/>
      <c r="E10" s="2"/>
      <c r="H10" s="19"/>
      <c r="I10" s="10" t="s">
        <v>10</v>
      </c>
      <c r="J10" s="9">
        <f>J3/(J2+J3)</f>
        <v>1.9898225469728602E-4</v>
      </c>
      <c r="O10" t="s">
        <v>33</v>
      </c>
      <c r="R10" s="21"/>
    </row>
    <row r="11" spans="1:20" x14ac:dyDescent="0.25">
      <c r="A11" s="2" t="s">
        <v>64</v>
      </c>
      <c r="B11" s="2">
        <f>B9*(1-(B10/100))</f>
        <v>5059.38</v>
      </c>
      <c r="C11" s="2"/>
      <c r="D11" s="2"/>
      <c r="E11" s="2"/>
      <c r="H11" s="19"/>
      <c r="I11" s="22" t="s">
        <v>3</v>
      </c>
      <c r="J11" s="22">
        <f>J9*J7+J10*J5*(1-J6/100)</f>
        <v>10.800786795407097</v>
      </c>
      <c r="K11" s="45"/>
      <c r="L11" s="23"/>
      <c r="M11" s="23"/>
      <c r="N11" s="23"/>
      <c r="O11" s="23"/>
      <c r="P11" s="23"/>
      <c r="Q11" s="28"/>
      <c r="R11" s="21"/>
    </row>
    <row r="12" spans="1:20" x14ac:dyDescent="0.25">
      <c r="A12" s="2" t="s">
        <v>1</v>
      </c>
      <c r="B12" s="2">
        <v>443</v>
      </c>
      <c r="C12" s="2"/>
      <c r="D12" s="2"/>
      <c r="E12" s="2"/>
      <c r="H12" s="21"/>
      <c r="I12" s="43"/>
      <c r="J12" s="43"/>
      <c r="K12" s="43"/>
      <c r="L12" s="43"/>
      <c r="M12" s="43"/>
      <c r="N12" s="43"/>
      <c r="O12" s="43"/>
      <c r="P12" s="43"/>
      <c r="Q12" s="43"/>
      <c r="R12" s="21"/>
    </row>
    <row r="13" spans="1:20" x14ac:dyDescent="0.25">
      <c r="A13" s="2" t="s">
        <v>11</v>
      </c>
      <c r="B13" s="2">
        <v>1011.28</v>
      </c>
      <c r="C13" s="2"/>
      <c r="D13" s="2"/>
      <c r="E13" s="2"/>
      <c r="H13" s="21"/>
      <c r="I13" s="43"/>
      <c r="J13" s="43"/>
      <c r="K13" s="43"/>
      <c r="L13" s="43"/>
      <c r="M13" s="43"/>
      <c r="N13" s="43"/>
      <c r="O13" s="43"/>
      <c r="P13" s="43"/>
      <c r="Q13" s="43"/>
    </row>
    <row r="14" spans="1:20" ht="15.75" thickBot="1" x14ac:dyDescent="0.3">
      <c r="A14" s="11" t="s">
        <v>12</v>
      </c>
      <c r="B14" s="11">
        <f>(G20-G19)-(F20-F19)</f>
        <v>3069</v>
      </c>
      <c r="C14" s="2"/>
      <c r="D14" s="2"/>
      <c r="E14" s="2"/>
      <c r="H14" s="21"/>
      <c r="I14" s="43"/>
      <c r="J14" s="43"/>
      <c r="K14" s="43"/>
      <c r="L14" s="43"/>
      <c r="M14" s="43"/>
      <c r="N14" s="43"/>
      <c r="O14" s="43"/>
      <c r="P14" s="43"/>
      <c r="Q14" s="43"/>
    </row>
    <row r="15" spans="1:20" x14ac:dyDescent="0.25">
      <c r="A15" s="7" t="s">
        <v>2</v>
      </c>
      <c r="B15" s="8">
        <f>B11+B12-B13-B14</f>
        <v>1422.1000000000004</v>
      </c>
      <c r="C15" s="2">
        <f>$B$15*(1+$B$8/100)^(C3-$B$3)</f>
        <v>1578.5310000000006</v>
      </c>
      <c r="D15" s="2">
        <f t="shared" ref="D15:F15" si="0">$B$15*(1+$B$8/100)^(D3-$B$3)</f>
        <v>1752.1694100000007</v>
      </c>
      <c r="E15" s="2">
        <f t="shared" si="0"/>
        <v>1944.9080451000009</v>
      </c>
      <c r="F15" s="2">
        <f t="shared" si="0"/>
        <v>2158.8479300610011</v>
      </c>
      <c r="H15" s="21"/>
      <c r="L15" s="2" t="s">
        <v>68</v>
      </c>
      <c r="M15" s="2">
        <v>13</v>
      </c>
    </row>
    <row r="16" spans="1:20" x14ac:dyDescent="0.25">
      <c r="A16" s="1"/>
      <c r="H16" s="20"/>
    </row>
    <row r="17" spans="1:9" x14ac:dyDescent="0.25">
      <c r="A17" s="1"/>
      <c r="H17" s="20"/>
    </row>
    <row r="18" spans="1:9" x14ac:dyDescent="0.25">
      <c r="A18" s="1" t="s">
        <v>34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s="21"/>
    </row>
    <row r="19" spans="1:9" x14ac:dyDescent="0.25">
      <c r="A19" t="s">
        <v>17</v>
      </c>
      <c r="B19" s="39">
        <v>16765</v>
      </c>
      <c r="C19">
        <v>16830</v>
      </c>
      <c r="D19">
        <v>19581</v>
      </c>
      <c r="E19">
        <v>20566</v>
      </c>
      <c r="F19">
        <v>22027</v>
      </c>
      <c r="G19">
        <v>19753</v>
      </c>
      <c r="H19" s="21"/>
      <c r="I19" s="43"/>
    </row>
    <row r="20" spans="1:9" x14ac:dyDescent="0.25">
      <c r="A20" t="s">
        <v>16</v>
      </c>
      <c r="B20" s="38">
        <v>23616</v>
      </c>
      <c r="C20" s="36">
        <v>23713</v>
      </c>
      <c r="D20">
        <v>27294</v>
      </c>
      <c r="E20">
        <v>30048</v>
      </c>
      <c r="F20">
        <v>34063</v>
      </c>
      <c r="G20">
        <v>34858</v>
      </c>
      <c r="H20" s="21"/>
      <c r="I20" s="43"/>
    </row>
    <row r="21" spans="1:9" x14ac:dyDescent="0.25">
      <c r="I21" s="43"/>
    </row>
    <row r="23" spans="1:9" x14ac:dyDescent="0.25">
      <c r="A23" s="26" t="s">
        <v>35</v>
      </c>
      <c r="B23" s="2" t="s">
        <v>36</v>
      </c>
      <c r="C23" s="2" t="s">
        <v>37</v>
      </c>
      <c r="D23" s="2" t="s">
        <v>38</v>
      </c>
      <c r="E23" s="2" t="s">
        <v>39</v>
      </c>
      <c r="F23" s="2" t="s">
        <v>40</v>
      </c>
    </row>
    <row r="24" spans="1:9" x14ac:dyDescent="0.25">
      <c r="A24" s="2"/>
      <c r="B24" s="2" t="e">
        <f>#REF!/(1+$J$11)^(COLUMN()-COLUMN($B$24)+1)</f>
        <v>#REF!</v>
      </c>
      <c r="C24" s="2">
        <f>C15/(1+$J$11)^(COLUMN()-COLUMN($B$24)+1)</f>
        <v>11.335252196264735</v>
      </c>
      <c r="D24" s="2">
        <f>D15/(1+$J$11)^(COLUMN()-COLUMN($B$24)+1)</f>
        <v>1.0662111057502419</v>
      </c>
      <c r="E24" s="2">
        <f>E15/(1+$J$11)^(COLUMN()-COLUMN($B$24)+1)</f>
        <v>0.10028944238221373</v>
      </c>
      <c r="F24" s="2">
        <f>B15/(1+$J$11)^(COLUMN()-COLUMN($B$24)+1)</f>
        <v>6.2140581960088859E-3</v>
      </c>
    </row>
    <row r="27" spans="1:9" ht="15.75" thickBot="1" x14ac:dyDescent="0.3">
      <c r="A27" s="30" t="s">
        <v>42</v>
      </c>
      <c r="B27" s="2">
        <v>3.5</v>
      </c>
      <c r="C27" s="23"/>
      <c r="D27" s="23" t="s">
        <v>43</v>
      </c>
      <c r="E27" s="23"/>
      <c r="F27" s="23"/>
      <c r="G27" s="23"/>
      <c r="H27" s="23"/>
    </row>
    <row r="28" spans="1:9" ht="15.75" thickBot="1" x14ac:dyDescent="0.3">
      <c r="A28" s="31" t="s">
        <v>41</v>
      </c>
      <c r="B28" s="32">
        <f>(B15*(1+B27))/J11-B27</f>
        <v>588.99850230552556</v>
      </c>
      <c r="D28" t="s">
        <v>46</v>
      </c>
    </row>
    <row r="29" spans="1:9" x14ac:dyDescent="0.25">
      <c r="A29" s="22" t="s">
        <v>44</v>
      </c>
      <c r="B29" s="13">
        <f>B28/(1+J11)^5</f>
        <v>2.5737085793464658E-3</v>
      </c>
      <c r="F29" s="29"/>
      <c r="G29" s="29"/>
      <c r="H29" s="29"/>
    </row>
    <row r="30" spans="1:9" ht="15.75" thickBot="1" x14ac:dyDescent="0.3">
      <c r="A30" s="27"/>
      <c r="B30" s="23"/>
      <c r="C30" s="23"/>
      <c r="D30" s="23" t="s">
        <v>48</v>
      </c>
      <c r="E30" s="28"/>
    </row>
    <row r="31" spans="1:9" x14ac:dyDescent="0.25">
      <c r="A31" s="24" t="s">
        <v>45</v>
      </c>
      <c r="B31" s="25" t="e" cm="1">
        <f t="array" ref="B31">SUM(B24:F24+B29)</f>
        <v>#REF!</v>
      </c>
      <c r="D31" s="2" t="s">
        <v>57</v>
      </c>
      <c r="E31" s="2">
        <v>61</v>
      </c>
    </row>
    <row r="32" spans="1:9" ht="15.75" thickBot="1" x14ac:dyDescent="0.3">
      <c r="A32" s="33" t="s">
        <v>47</v>
      </c>
      <c r="B32" s="16" t="e">
        <f>B31-(E31-E32)</f>
        <v>#REF!</v>
      </c>
      <c r="C32" s="29"/>
      <c r="D32" s="2" t="s">
        <v>49</v>
      </c>
      <c r="E32" s="2">
        <v>9397</v>
      </c>
    </row>
    <row r="34" spans="1:3" ht="15.75" thickBot="1" x14ac:dyDescent="0.3">
      <c r="A34" s="27" t="s">
        <v>51</v>
      </c>
      <c r="B34" s="23">
        <v>731</v>
      </c>
      <c r="C34" s="28"/>
    </row>
    <row r="35" spans="1:3" ht="15.75" thickBot="1" x14ac:dyDescent="0.3">
      <c r="A35" s="17" t="s">
        <v>50</v>
      </c>
      <c r="B35" s="34" t="e">
        <f>B32/B34</f>
        <v>#REF!</v>
      </c>
      <c r="C35" s="18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Tiwari</dc:creator>
  <cp:lastModifiedBy>Kartik Tiwari</cp:lastModifiedBy>
  <dcterms:created xsi:type="dcterms:W3CDTF">2026-01-05T07:39:19Z</dcterms:created>
  <dcterms:modified xsi:type="dcterms:W3CDTF">2026-01-23T08:22:31Z</dcterms:modified>
</cp:coreProperties>
</file>